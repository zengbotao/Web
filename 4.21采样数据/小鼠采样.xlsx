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F:\实验项目\BCAA实验\实验方案\4.21采样数据\"/>
    </mc:Choice>
  </mc:AlternateContent>
  <xr:revisionPtr revIDLastSave="0" documentId="13_ncr:1_{9FF43DBA-B750-422B-AE66-61CC1E9F115E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K15" i="1"/>
  <c r="C15" i="1"/>
  <c r="D15" i="1"/>
  <c r="E15" i="1"/>
  <c r="F15" i="1"/>
  <c r="G15" i="1"/>
  <c r="H15" i="1"/>
  <c r="B15" i="1"/>
  <c r="D13" i="1"/>
  <c r="D14" i="1"/>
  <c r="D17" i="1"/>
  <c r="D18" i="1"/>
  <c r="C16" i="1"/>
  <c r="C17" i="1"/>
  <c r="C18" i="1"/>
</calcChain>
</file>

<file path=xl/sharedStrings.xml><?xml version="1.0" encoding="utf-8"?>
<sst xmlns="http://schemas.openxmlformats.org/spreadsheetml/2006/main" count="15" uniqueCount="15">
  <si>
    <t>体重</t>
    <phoneticPr fontId="1" type="noConversion"/>
  </si>
  <si>
    <t>iWAT</t>
    <phoneticPr fontId="1" type="noConversion"/>
  </si>
  <si>
    <t xml:space="preserve">eWAT </t>
    <phoneticPr fontId="1" type="noConversion"/>
  </si>
  <si>
    <t>BAT</t>
    <phoneticPr fontId="1" type="noConversion"/>
  </si>
  <si>
    <t>liver</t>
    <phoneticPr fontId="1" type="noConversion"/>
  </si>
  <si>
    <t>采样信息</t>
    <phoneticPr fontId="1" type="noConversion"/>
  </si>
  <si>
    <t>小鼠编号与处理</t>
    <phoneticPr fontId="1" type="noConversion"/>
  </si>
  <si>
    <t>比目鱼肌</t>
    <phoneticPr fontId="1" type="noConversion"/>
  </si>
  <si>
    <t>腓肠肌</t>
    <phoneticPr fontId="1" type="noConversion"/>
  </si>
  <si>
    <t>5（CTL1）</t>
    <phoneticPr fontId="1" type="noConversion"/>
  </si>
  <si>
    <t>1（CTL2）</t>
    <phoneticPr fontId="1" type="noConversion"/>
  </si>
  <si>
    <t>BCAA1</t>
    <phoneticPr fontId="1" type="noConversion"/>
  </si>
  <si>
    <t>BCAA4</t>
    <phoneticPr fontId="1" type="noConversion"/>
  </si>
  <si>
    <t>BCAA2</t>
  </si>
  <si>
    <t>BCAA3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</si>
</sst>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K10" sqref="K10"/>
    </sheetView>
  </sheetViews>
  <sheetFormatPr defaultRowHeight="20.100000000000001" customHeight="1" x14ac:dyDescent="0.2"/>
  <cols>
    <col min="1" max="1" width="15.125" style="1" customWidth="1"/>
    <col min="2" max="2" width="11.25" style="1" customWidth="1"/>
    <col min="3" max="3" width="11.625" style="1" customWidth="1"/>
    <col min="4" max="4" width="13.375" style="1" customWidth="1"/>
    <col min="5" max="5" width="13.75" style="1" customWidth="1"/>
    <col min="6" max="6" width="11.25" style="1" customWidth="1"/>
  </cols>
  <sheetData>
    <row r="1" spans="1:11" ht="20.100000000000001" customHeight="1" x14ac:dyDescent="0.2">
      <c r="A1" s="4" t="s">
        <v>5</v>
      </c>
      <c r="B1" s="4"/>
      <c r="C1" s="4"/>
      <c r="D1" s="4"/>
      <c r="E1" s="4"/>
      <c r="F1" s="4"/>
    </row>
    <row r="2" spans="1:11" ht="20.100000000000001" customHeight="1" x14ac:dyDescent="0.2">
      <c r="A2" s="2" t="s">
        <v>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7</v>
      </c>
      <c r="H2" s="2" t="s">
        <v>8</v>
      </c>
    </row>
    <row r="3" spans="1:11" ht="20.100000000000001" customHeight="1" x14ac:dyDescent="0.2">
      <c r="A3" s="2" t="s">
        <v>9</v>
      </c>
      <c r="B3" s="2">
        <v>34.28</v>
      </c>
      <c r="C3" s="2">
        <v>0.73429999999999995</v>
      </c>
      <c r="D3" s="2">
        <v>0.878</v>
      </c>
      <c r="E3" s="2">
        <v>0.1368</v>
      </c>
      <c r="F3" s="2">
        <v>1.2306999999999999</v>
      </c>
      <c r="G3" s="2">
        <v>4.0000000000000001E-3</v>
      </c>
      <c r="H3" s="2">
        <v>0.1721</v>
      </c>
    </row>
    <row r="4" spans="1:11" ht="20.100000000000001" customHeight="1" x14ac:dyDescent="0.2">
      <c r="A4" s="2" t="s">
        <v>10</v>
      </c>
      <c r="B4" s="2">
        <v>36.65</v>
      </c>
      <c r="C4" s="2">
        <v>1.0016</v>
      </c>
      <c r="D4" s="2">
        <v>0.98140000000000005</v>
      </c>
      <c r="E4" s="2">
        <v>0.14949999999999999</v>
      </c>
      <c r="F4" s="2">
        <v>1.3191999999999999</v>
      </c>
      <c r="G4" s="2">
        <v>9.4999999999999998E-3</v>
      </c>
      <c r="H4" s="2">
        <v>0.1774</v>
      </c>
    </row>
    <row r="5" spans="1:11" ht="20.100000000000001" customHeight="1" x14ac:dyDescent="0.2">
      <c r="A5" s="2" t="s">
        <v>12</v>
      </c>
      <c r="B5" s="2">
        <v>32.119999999999997</v>
      </c>
      <c r="C5" s="2">
        <v>0.3624</v>
      </c>
      <c r="D5" s="2">
        <v>0.40279999999999999</v>
      </c>
      <c r="E5" s="2">
        <v>8.3699999999999997E-2</v>
      </c>
      <c r="F5" s="2">
        <v>1.0222</v>
      </c>
      <c r="G5" s="2"/>
      <c r="H5" s="2"/>
    </row>
    <row r="6" spans="1:11" ht="20.100000000000001" customHeight="1" x14ac:dyDescent="0.2">
      <c r="A6" s="2" t="s">
        <v>11</v>
      </c>
      <c r="B6" s="2">
        <v>32.5</v>
      </c>
      <c r="C6" s="2">
        <v>0.31359999999999999</v>
      </c>
      <c r="D6" s="2">
        <v>0.75560000000000005</v>
      </c>
      <c r="E6" s="2">
        <v>9.3799999999999994E-2</v>
      </c>
      <c r="F6" s="2">
        <v>1.3102</v>
      </c>
      <c r="G6" s="2">
        <v>8.8000000000000005E-3</v>
      </c>
      <c r="H6" s="2">
        <v>0.1507</v>
      </c>
    </row>
    <row r="7" spans="1:11" ht="20.100000000000001" customHeight="1" x14ac:dyDescent="0.2">
      <c r="A7" s="2" t="s">
        <v>13</v>
      </c>
      <c r="B7" s="2">
        <v>30.7</v>
      </c>
      <c r="C7" s="2">
        <v>0.32300000000000001</v>
      </c>
      <c r="D7" s="2">
        <v>0.72009999999999996</v>
      </c>
      <c r="E7" s="2">
        <v>0.13250000000000001</v>
      </c>
      <c r="F7" s="2">
        <v>0.92279999999999995</v>
      </c>
      <c r="G7" s="2">
        <v>9.1999999999999998E-3</v>
      </c>
      <c r="H7" s="2">
        <v>0.1578</v>
      </c>
    </row>
    <row r="8" spans="1:11" ht="20.100000000000001" customHeight="1" x14ac:dyDescent="0.2">
      <c r="A8" s="2" t="s">
        <v>14</v>
      </c>
      <c r="B8" s="2">
        <v>30.2</v>
      </c>
      <c r="C8" s="2">
        <v>0.2407</v>
      </c>
      <c r="D8" s="2">
        <v>0.57509999999999994</v>
      </c>
      <c r="E8" s="2">
        <v>0.13089999999999999</v>
      </c>
      <c r="F8" s="2">
        <v>1.0892999999999999</v>
      </c>
      <c r="G8" s="2">
        <v>8.5000000000000006E-3</v>
      </c>
      <c r="H8" s="2">
        <v>0.16439999999999999</v>
      </c>
    </row>
    <row r="9" spans="1:11" ht="20.100000000000001" customHeight="1" x14ac:dyDescent="0.2">
      <c r="A9" s="2"/>
      <c r="B9" s="2"/>
      <c r="C9" s="2"/>
      <c r="D9" s="2"/>
      <c r="E9" s="2"/>
      <c r="F9" s="2"/>
      <c r="G9" s="2"/>
      <c r="H9" s="2"/>
    </row>
    <row r="10" spans="1:11" ht="20.100000000000001" customHeight="1" x14ac:dyDescent="0.2">
      <c r="A10" s="2"/>
      <c r="B10" s="2"/>
      <c r="C10" s="2"/>
      <c r="D10" s="2"/>
      <c r="E10" s="2"/>
      <c r="F10" s="2"/>
      <c r="G10" s="2"/>
      <c r="H10" s="2"/>
    </row>
    <row r="13" spans="1:11" ht="20.100000000000001" customHeight="1" x14ac:dyDescent="0.2">
      <c r="B13" s="3">
        <v>34.28</v>
      </c>
      <c r="C13" s="3">
        <v>0.73429999999999995</v>
      </c>
      <c r="D13" s="3">
        <f>D3*2</f>
        <v>1.756</v>
      </c>
      <c r="E13" s="3">
        <v>0.1368</v>
      </c>
      <c r="F13" s="3">
        <v>1.2306999999999999</v>
      </c>
      <c r="G13" s="3">
        <v>4.0000000000000001E-3</v>
      </c>
      <c r="H13" s="3">
        <v>0.1721</v>
      </c>
    </row>
    <row r="14" spans="1:11" ht="20.100000000000001" customHeight="1" x14ac:dyDescent="0.2">
      <c r="B14" s="3">
        <v>36.65</v>
      </c>
      <c r="C14" s="3">
        <v>1.0016</v>
      </c>
      <c r="D14" s="3">
        <f t="shared" ref="D14" si="0">D4*2</f>
        <v>1.9628000000000001</v>
      </c>
      <c r="E14" s="3">
        <v>0.14949999999999999</v>
      </c>
      <c r="F14" s="3">
        <v>1.3191999999999999</v>
      </c>
      <c r="G14" s="3">
        <v>9.4999999999999998E-3</v>
      </c>
      <c r="H14" s="3">
        <v>0.1774</v>
      </c>
    </row>
    <row r="15" spans="1:11" ht="20.100000000000001" customHeight="1" x14ac:dyDescent="0.2">
      <c r="B15" s="3">
        <f>AVERAGE(B13:B14)</f>
        <v>35.465000000000003</v>
      </c>
      <c r="C15" s="3">
        <f t="shared" ref="C15:H15" si="1">AVERAGE(C13:C14)</f>
        <v>0.86795</v>
      </c>
      <c r="D15" s="3">
        <f t="shared" si="1"/>
        <v>1.8593999999999999</v>
      </c>
      <c r="E15" s="3">
        <f t="shared" si="1"/>
        <v>0.14315</v>
      </c>
      <c r="F15" s="3">
        <f t="shared" si="1"/>
        <v>1.27495</v>
      </c>
      <c r="G15" s="3">
        <f t="shared" si="1"/>
        <v>6.7499999999999999E-3</v>
      </c>
      <c r="H15" s="3">
        <f t="shared" si="1"/>
        <v>0.17475000000000002</v>
      </c>
      <c r="K15">
        <f>H20</f>
        <v>0</v>
      </c>
    </row>
    <row r="16" spans="1:11" ht="20.100000000000001" customHeight="1" x14ac:dyDescent="0.2">
      <c r="B16" s="3">
        <v>32.5</v>
      </c>
      <c r="C16" s="3">
        <f>C5*2</f>
        <v>0.7248</v>
      </c>
      <c r="D16" s="3">
        <f>D6*2</f>
        <v>1.5112000000000001</v>
      </c>
      <c r="E16" s="3">
        <v>9.3799999999999994E-2</v>
      </c>
      <c r="F16" s="3">
        <v>1.3102</v>
      </c>
      <c r="G16" s="3">
        <v>8.8000000000000005E-3</v>
      </c>
      <c r="H16" s="3">
        <v>0.1507</v>
      </c>
    </row>
    <row r="17" spans="2:8" ht="20.100000000000001" customHeight="1" x14ac:dyDescent="0.2">
      <c r="B17" s="3">
        <v>30.7</v>
      </c>
      <c r="C17" s="3">
        <f t="shared" ref="C16:D18" si="2">C7*2</f>
        <v>0.64600000000000002</v>
      </c>
      <c r="D17" s="3">
        <f t="shared" si="2"/>
        <v>1.4401999999999999</v>
      </c>
      <c r="E17" s="3">
        <v>0.13250000000000001</v>
      </c>
      <c r="F17" s="3">
        <v>0.92279999999999995</v>
      </c>
      <c r="G17" s="3">
        <v>9.1999999999999998E-3</v>
      </c>
      <c r="H17" s="3">
        <v>0.1578</v>
      </c>
    </row>
    <row r="18" spans="2:8" ht="20.100000000000001" customHeight="1" x14ac:dyDescent="0.2">
      <c r="B18" s="3">
        <v>30.2</v>
      </c>
      <c r="C18" s="3">
        <f t="shared" si="2"/>
        <v>0.48139999999999999</v>
      </c>
      <c r="D18" s="3">
        <f t="shared" si="2"/>
        <v>1.1501999999999999</v>
      </c>
      <c r="E18" s="3">
        <v>0.13089999999999999</v>
      </c>
      <c r="F18" s="3">
        <v>1.0892999999999999</v>
      </c>
      <c r="G18" s="3">
        <v>8.5000000000000006E-3</v>
      </c>
      <c r="H18" s="3">
        <v>0.16439999999999999</v>
      </c>
    </row>
  </sheetData>
  <mergeCells count="1"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waves</dc:creator>
  <cp:lastModifiedBy>waves</cp:lastModifiedBy>
  <cp:lastPrinted>2021-04-21T10:58:11Z</cp:lastPrinted>
  <dcterms:created xsi:type="dcterms:W3CDTF">2015-06-05T18:19:34Z</dcterms:created>
  <dcterms:modified xsi:type="dcterms:W3CDTF">2021-04-22T03:33:49Z</dcterms:modified>
</cp:coreProperties>
</file>